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7100" windowHeight="985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98" i="1"/>
</calcChain>
</file>

<file path=xl/sharedStrings.xml><?xml version="1.0" encoding="utf-8"?>
<sst xmlns="http://schemas.openxmlformats.org/spreadsheetml/2006/main" count="175" uniqueCount="160">
  <si>
    <t>证券投资基金估值表</t>
  </si>
  <si>
    <t>长城证券___PRODUCT_023___专用表</t>
  </si>
  <si>
    <t>估值日期：2025-03-27</t>
  </si>
  <si>
    <t>科目代码</t>
  </si>
  <si>
    <t>1002</t>
  </si>
  <si>
    <t>100201</t>
  </si>
  <si>
    <t>10020101</t>
  </si>
  <si>
    <t>100206</t>
  </si>
  <si>
    <t>10020601</t>
  </si>
  <si>
    <t>10020601000001</t>
  </si>
  <si>
    <t>1021</t>
  </si>
  <si>
    <t>102113</t>
  </si>
  <si>
    <t>102113D9</t>
  </si>
  <si>
    <t>1031</t>
  </si>
  <si>
    <t>103106</t>
  </si>
  <si>
    <t>10310601</t>
  </si>
  <si>
    <t>103132</t>
  </si>
  <si>
    <t>10313210</t>
  </si>
  <si>
    <t>10313212</t>
  </si>
  <si>
    <t>1102</t>
  </si>
  <si>
    <t>110281</t>
  </si>
  <si>
    <t>11028101</t>
  </si>
  <si>
    <t>11028101H02208</t>
  </si>
  <si>
    <t>11028101H02333</t>
  </si>
  <si>
    <t>11028199</t>
  </si>
  <si>
    <t>11028199H02208</t>
  </si>
  <si>
    <t>11028199H02333</t>
  </si>
  <si>
    <t>2205</t>
  </si>
  <si>
    <t>220501</t>
  </si>
  <si>
    <t>2206</t>
  </si>
  <si>
    <t>220601</t>
  </si>
  <si>
    <t>2207</t>
  </si>
  <si>
    <t>220701</t>
  </si>
  <si>
    <t>2208</t>
  </si>
  <si>
    <t>220801</t>
  </si>
  <si>
    <t>2209</t>
  </si>
  <si>
    <t>220904</t>
  </si>
  <si>
    <t>22090401</t>
  </si>
  <si>
    <t>22090401061041</t>
  </si>
  <si>
    <t>3003</t>
  </si>
  <si>
    <t>300324</t>
  </si>
  <si>
    <t>30032401</t>
  </si>
  <si>
    <t>3102</t>
  </si>
  <si>
    <t>3102C1</t>
  </si>
  <si>
    <t>3102C101</t>
  </si>
  <si>
    <t>3102C101000002</t>
  </si>
  <si>
    <t>3102C101000005</t>
  </si>
  <si>
    <t>3102C101000006</t>
  </si>
  <si>
    <t>3102C199</t>
  </si>
  <si>
    <t>3102C199000002</t>
  </si>
  <si>
    <t>3102C199000005</t>
  </si>
  <si>
    <t>3102C199000006</t>
  </si>
  <si>
    <t>证券投资合计:</t>
  </si>
  <si>
    <t>其中股票投资:</t>
  </si>
  <si>
    <t>其中债券投资:</t>
  </si>
  <si>
    <t>其中基金投资:</t>
  </si>
  <si>
    <t>其中权证投资:</t>
  </si>
  <si>
    <t>今日可用头寸</t>
  </si>
  <si>
    <t>实收资本金额</t>
  </si>
  <si>
    <t>实收资本</t>
  </si>
  <si>
    <t>损益平准金_未实现:</t>
  </si>
  <si>
    <t>损益平准金_已实现:</t>
  </si>
  <si>
    <t>资产类合计:</t>
  </si>
  <si>
    <t>负债类合计:</t>
  </si>
  <si>
    <t>基金资产净值:</t>
  </si>
  <si>
    <t>基金单位净值：</t>
  </si>
  <si>
    <t>累计单位净值:</t>
  </si>
  <si>
    <t>年初单位净值:</t>
  </si>
  <si>
    <t>期初单位净值:</t>
  </si>
  <si>
    <t>周初单位净值:</t>
  </si>
  <si>
    <t>昨日单位净值:</t>
  </si>
  <si>
    <t>成立以来净值增长率(%):</t>
  </si>
  <si>
    <t>净值年增长率(%):</t>
  </si>
  <si>
    <t>净值季度增长率(%):</t>
  </si>
  <si>
    <t>净值月增长率(%):</t>
  </si>
  <si>
    <t>净值周增长率(%):</t>
  </si>
  <si>
    <t>净值日增长率(%):</t>
  </si>
  <si>
    <t>本年已实现收益:</t>
  </si>
  <si>
    <t>本月已实现收益:</t>
  </si>
  <si>
    <t>从成立日开始的累计已实现收益:</t>
  </si>
  <si>
    <t>可分配利润:</t>
  </si>
  <si>
    <t>单位可分配利润:</t>
  </si>
  <si>
    <t>现金类占净值比(%):</t>
  </si>
  <si>
    <t>一年内到期的政府债券占净值比(%):</t>
  </si>
  <si>
    <t>累计派现金额:</t>
  </si>
  <si>
    <t>制  表：邹欣艺</t>
  </si>
  <si>
    <t>确  认：</t>
  </si>
  <si>
    <t>科目名称</t>
  </si>
  <si>
    <t>银行存款</t>
  </si>
  <si>
    <t>活期存款</t>
  </si>
  <si>
    <t>平安银行</t>
  </si>
  <si>
    <t>应计利息</t>
  </si>
  <si>
    <t>应计活期银行存款利息</t>
  </si>
  <si>
    <t>应计活期存款利息</t>
  </si>
  <si>
    <t>清算备付金</t>
  </si>
  <si>
    <t>期货清算备付金</t>
  </si>
  <si>
    <t>宝城期货</t>
  </si>
  <si>
    <t>存出保证金</t>
  </si>
  <si>
    <t>券商保证金账户</t>
  </si>
  <si>
    <t>长城证券</t>
  </si>
  <si>
    <t>收益互换协议履约保证金</t>
  </si>
  <si>
    <t>RMB预付金</t>
  </si>
  <si>
    <t>HKD-EQ预付金</t>
  </si>
  <si>
    <t>以公允价值计量且其变动计入当期损益的股票投资</t>
  </si>
  <si>
    <t>港股通股票</t>
  </si>
  <si>
    <t>股票成本_股票成本_港股通</t>
  </si>
  <si>
    <t>金风科技</t>
  </si>
  <si>
    <t>长城汽车</t>
  </si>
  <si>
    <t>股票估值增值_港股通</t>
  </si>
  <si>
    <t>应付外包服务费</t>
  </si>
  <si>
    <t>应付管理人报酬</t>
  </si>
  <si>
    <t>应付托管费</t>
  </si>
  <si>
    <t>应付销售服务费</t>
  </si>
  <si>
    <t>应付交易费用</t>
  </si>
  <si>
    <t>应付佣金_券商_港股通</t>
  </si>
  <si>
    <t>61041</t>
  </si>
  <si>
    <t>证券清算款</t>
  </si>
  <si>
    <t>港股通清算款</t>
  </si>
  <si>
    <t>证券清算款_港股通</t>
  </si>
  <si>
    <t>衍生工具</t>
  </si>
  <si>
    <t>衍生工具_收益互换</t>
  </si>
  <si>
    <t>衍生工具_收益互换_初始合约价值</t>
  </si>
  <si>
    <t>和谐中信收益互换USD-EQ</t>
  </si>
  <si>
    <t>和谐中信收益互换HKD-EQ</t>
  </si>
  <si>
    <t>和谐中信收益互换人民币</t>
  </si>
  <si>
    <t>衍生工具_收益互换_公允价值变动</t>
  </si>
  <si>
    <t>1.2087</t>
  </si>
  <si>
    <t>1.1778</t>
  </si>
  <si>
    <t>1.2516</t>
  </si>
  <si>
    <t>1.2032</t>
  </si>
  <si>
    <t>1.2110</t>
  </si>
  <si>
    <t>20.8700</t>
  </si>
  <si>
    <t>2.6235</t>
  </si>
  <si>
    <t>-3.4276</t>
  </si>
  <si>
    <t>0.4571</t>
  </si>
  <si>
    <t>-0.1899</t>
  </si>
  <si>
    <t>-891,390.39</t>
  </si>
  <si>
    <t>-859,001.23</t>
  </si>
  <si>
    <t>2,027,613.94</t>
  </si>
  <si>
    <t>4,054,067.07</t>
  </si>
  <si>
    <t>0.191</t>
  </si>
  <si>
    <t>86.80</t>
  </si>
  <si>
    <t>0.0000</t>
  </si>
  <si>
    <t>数量</t>
  </si>
  <si>
    <t>单位成本</t>
  </si>
  <si>
    <t>成本</t>
  </si>
  <si>
    <t>1.2059</t>
  </si>
  <si>
    <t xml:space="preserve"> 复    核：</t>
  </si>
  <si>
    <t xml:space="preserve"> 打    印：邹欣艺</t>
  </si>
  <si>
    <t>成本占净值%</t>
  </si>
  <si>
    <t>市价</t>
  </si>
  <si>
    <t>单位净值：1.2087</t>
  </si>
  <si>
    <t>市值</t>
  </si>
  <si>
    <t>市值占净值%</t>
  </si>
  <si>
    <t xml:space="preserve"> 审  核：</t>
  </si>
  <si>
    <t>估值增值</t>
  </si>
  <si>
    <t>单位：元</t>
  </si>
  <si>
    <t>停牌信息</t>
  </si>
  <si>
    <t>【正常交易】</t>
  </si>
  <si>
    <t>权益信息</t>
  </si>
</sst>
</file>

<file path=xl/styles.xml><?xml version="1.0" encoding="utf-8"?>
<styleSheet xmlns="http://schemas.openxmlformats.org/spreadsheetml/2006/main">
  <numFmts count="2">
    <numFmt numFmtId="176" formatCode="0.0000"/>
    <numFmt numFmtId="177" formatCode="#,##0.0000"/>
  </numFmts>
  <fonts count="11">
    <font>
      <sz val="10"/>
      <name val="Arial"/>
    </font>
    <font>
      <sz val="8"/>
      <color indexed="8"/>
      <name val="MS Sans Serif"/>
    </font>
    <font>
      <b/>
      <sz val="20"/>
      <color indexed="8"/>
      <name val="黑体"/>
      <family val="3"/>
      <charset val="134"/>
    </font>
    <font>
      <b/>
      <sz val="11"/>
      <color indexed="8"/>
      <name val="黑体"/>
      <family val="3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宋体"/>
      <charset val="134"/>
    </font>
    <font>
      <sz val="10"/>
      <color indexed="8"/>
      <name val="MS Sans Serif"/>
    </font>
    <font>
      <b/>
      <sz val="8"/>
      <color indexed="8"/>
      <name val="MS Sans Serif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1" fillId="0" borderId="0" xfId="0" applyFont="1" applyAlignment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37" fontId="3" fillId="0" borderId="0" xfId="0" applyNumberFormat="1" applyFont="1" applyFill="1" applyBorder="1" applyAlignment="1" applyProtection="1">
      <alignment horizontal="center" vertical="center"/>
    </xf>
    <xf numFmtId="37" fontId="4" fillId="0" borderId="1" xfId="0" applyNumberFormat="1" applyFont="1" applyFill="1" applyBorder="1" applyAlignment="1" applyProtection="1">
      <alignment horizontal="left" vertical="center"/>
    </xf>
    <xf numFmtId="49" fontId="5" fillId="2" borderId="2" xfId="0" applyNumberFormat="1" applyFont="1" applyFill="1" applyBorder="1" applyAlignment="1" applyProtection="1">
      <alignment horizontal="center" vertical="center"/>
    </xf>
    <xf numFmtId="49" fontId="6" fillId="0" borderId="3" xfId="0" applyNumberFormat="1" applyFont="1" applyFill="1" applyBorder="1" applyAlignment="1" applyProtection="1">
      <alignment horizontal="left" vertical="center"/>
    </xf>
    <xf numFmtId="49" fontId="7" fillId="0" borderId="3" xfId="0" applyNumberFormat="1" applyFont="1" applyFill="1" applyBorder="1" applyAlignment="1" applyProtection="1">
      <alignment horizontal="left" vertical="center"/>
    </xf>
    <xf numFmtId="0" fontId="8" fillId="0" borderId="4" xfId="0" applyNumberFormat="1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alignment vertical="center"/>
    </xf>
    <xf numFmtId="37" fontId="7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vertical="center"/>
    </xf>
    <xf numFmtId="37" fontId="5" fillId="2" borderId="2" xfId="0" applyNumberFormat="1" applyFont="1" applyFill="1" applyBorder="1" applyAlignment="1" applyProtection="1">
      <alignment horizontal="center" vertical="center"/>
    </xf>
    <xf numFmtId="177" fontId="7" fillId="0" borderId="3" xfId="0" applyNumberFormat="1" applyFont="1" applyFill="1" applyBorder="1" applyAlignment="1" applyProtection="1">
      <alignment horizontal="right" vertical="center"/>
    </xf>
    <xf numFmtId="49" fontId="7" fillId="0" borderId="3" xfId="0" applyNumberFormat="1" applyFont="1" applyFill="1" applyBorder="1" applyAlignment="1" applyProtection="1">
      <alignment horizontal="right" vertical="center"/>
    </xf>
    <xf numFmtId="0" fontId="3" fillId="0" borderId="0" xfId="0" applyNumberFormat="1" applyFont="1" applyFill="1" applyBorder="1" applyAlignment="1" applyProtection="1">
      <alignment vertical="center"/>
    </xf>
    <xf numFmtId="0" fontId="4" fillId="0" borderId="1" xfId="0" applyNumberFormat="1" applyFont="1" applyFill="1" applyBorder="1" applyAlignment="1" applyProtection="1">
      <alignment vertical="center"/>
    </xf>
    <xf numFmtId="3" fontId="6" fillId="0" borderId="3" xfId="0" applyNumberFormat="1" applyFont="1" applyFill="1" applyBorder="1" applyAlignment="1" applyProtection="1">
      <alignment horizontal="right" vertical="center"/>
    </xf>
    <xf numFmtId="3" fontId="7" fillId="0" borderId="3" xfId="0" applyNumberFormat="1" applyFont="1" applyFill="1" applyBorder="1" applyAlignment="1" applyProtection="1">
      <alignment horizontal="right" vertical="center"/>
    </xf>
    <xf numFmtId="176" fontId="7" fillId="0" borderId="3" xfId="0" applyNumberFormat="1" applyFont="1" applyFill="1" applyBorder="1" applyAlignment="1" applyProtection="1">
      <alignment horizontal="right" vertical="center"/>
    </xf>
    <xf numFmtId="4" fontId="7" fillId="0" borderId="3" xfId="0" applyNumberFormat="1" applyFont="1" applyFill="1" applyBorder="1" applyAlignment="1" applyProtection="1">
      <alignment horizontal="right" vertical="center"/>
    </xf>
    <xf numFmtId="1" fontId="7" fillId="0" borderId="3" xfId="0" applyNumberFormat="1" applyFont="1" applyFill="1" applyBorder="1" applyAlignment="1" applyProtection="1">
      <alignment horizontal="right" vertical="center"/>
    </xf>
    <xf numFmtId="37" fontId="7" fillId="0" borderId="0" xfId="0" applyNumberFormat="1" applyFont="1" applyFill="1" applyBorder="1" applyAlignment="1" applyProtection="1">
      <alignment horizontal="left" vertical="center"/>
    </xf>
    <xf numFmtId="4" fontId="6" fillId="0" borderId="3" xfId="0" applyNumberFormat="1" applyFont="1" applyFill="1" applyBorder="1" applyAlignment="1" applyProtection="1">
      <alignment horizontal="right" vertical="center"/>
    </xf>
    <xf numFmtId="0" fontId="5" fillId="2" borderId="2" xfId="0" applyNumberFormat="1" applyFont="1" applyFill="1" applyBorder="1" applyAlignment="1" applyProtection="1">
      <alignment horizontal="center" vertical="center"/>
    </xf>
    <xf numFmtId="40" fontId="6" fillId="0" borderId="3" xfId="0" applyNumberFormat="1" applyFont="1" applyFill="1" applyBorder="1" applyAlignment="1" applyProtection="1">
      <alignment horizontal="right" vertical="center"/>
    </xf>
    <xf numFmtId="40" fontId="7" fillId="0" borderId="3" xfId="0" applyNumberFormat="1" applyFont="1" applyFill="1" applyBorder="1" applyAlignment="1" applyProtection="1">
      <alignment horizontal="right" vertical="center"/>
    </xf>
    <xf numFmtId="176" fontId="6" fillId="0" borderId="3" xfId="0" applyNumberFormat="1" applyFont="1" applyFill="1" applyBorder="1" applyAlignment="1" applyProtection="1">
      <alignment horizontal="right" vertical="center"/>
    </xf>
    <xf numFmtId="2" fontId="7" fillId="0" borderId="3" xfId="0" applyNumberFormat="1" applyFont="1" applyFill="1" applyBorder="1" applyAlignment="1" applyProtection="1">
      <alignment horizontal="right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177" fontId="3" fillId="0" borderId="0" xfId="0" applyNumberFormat="1" applyFont="1" applyFill="1" applyBorder="1" applyAlignment="1" applyProtection="1">
      <alignment vertical="center"/>
    </xf>
    <xf numFmtId="177" fontId="4" fillId="0" borderId="1" xfId="0" applyNumberFormat="1" applyFont="1" applyFill="1" applyBorder="1" applyAlignment="1" applyProtection="1">
      <alignment vertical="center"/>
    </xf>
    <xf numFmtId="177" fontId="5" fillId="2" borderId="2" xfId="0" applyNumberFormat="1" applyFont="1" applyFill="1" applyBorder="1" applyAlignment="1" applyProtection="1">
      <alignment horizontal="center" vertical="center"/>
    </xf>
    <xf numFmtId="177" fontId="8" fillId="0" borderId="4" xfId="0" applyNumberFormat="1" applyFont="1" applyFill="1" applyBorder="1" applyAlignment="1" applyProtection="1">
      <alignment vertical="center"/>
    </xf>
    <xf numFmtId="177" fontId="7" fillId="0" borderId="0" xfId="0" applyNumberFormat="1" applyFont="1" applyFill="1" applyBorder="1" applyAlignment="1" applyProtection="1">
      <alignment horizontal="left" vertical="center"/>
    </xf>
    <xf numFmtId="177" fontId="7" fillId="0" borderId="0" xfId="0" applyNumberFormat="1" applyFont="1" applyFill="1" applyBorder="1" applyAlignment="1" applyProtection="1">
      <alignment vertical="center"/>
    </xf>
    <xf numFmtId="177" fontId="1" fillId="0" borderId="0" xfId="0" applyNumberFormat="1" applyFont="1" applyFill="1" applyBorder="1" applyAlignment="1" applyProtection="1">
      <alignment vertical="center"/>
    </xf>
    <xf numFmtId="0" fontId="4" fillId="0" borderId="1" xfId="0" applyNumberFormat="1" applyFont="1" applyFill="1" applyBorder="1" applyAlignment="1" applyProtection="1">
      <alignment horizontal="right" vertical="center"/>
    </xf>
    <xf numFmtId="49" fontId="4" fillId="0" borderId="1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vertical="center"/>
    </xf>
    <xf numFmtId="0" fontId="1" fillId="0" borderId="1" xfId="0" applyNumberFormat="1" applyFont="1" applyFill="1" applyBorder="1" applyAlignment="1" applyProtection="1">
      <alignment vertical="center"/>
    </xf>
    <xf numFmtId="37" fontId="5" fillId="2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/>
    </xf>
    <xf numFmtId="0" fontId="1" fillId="0" borderId="6" xfId="0" applyNumberFormat="1" applyFont="1" applyFill="1" applyBorder="1" applyAlignment="1" applyProtection="1">
      <alignment vertical="center"/>
    </xf>
    <xf numFmtId="0" fontId="9" fillId="0" borderId="6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9"/>
  <sheetViews>
    <sheetView showGridLines="0" tabSelected="1" workbookViewId="0">
      <pane ySplit="4" topLeftCell="A5" activePane="bottomLeft" state="frozenSplit"/>
      <selection pane="bottomLeft" sqref="A1:K1"/>
    </sheetView>
  </sheetViews>
  <sheetFormatPr defaultColWidth="11.42578125" defaultRowHeight="12.75"/>
  <cols>
    <col min="1" max="1" width="22.5703125" customWidth="1"/>
    <col min="2" max="2" width="24.5703125" customWidth="1"/>
    <col min="3" max="3" width="13.42578125" customWidth="1"/>
    <col min="4" max="4" width="10" customWidth="1"/>
    <col min="5" max="5" width="19.42578125" customWidth="1"/>
    <col min="6" max="6" width="13.42578125" customWidth="1"/>
    <col min="7" max="7" width="12.85546875" customWidth="1"/>
    <col min="8" max="8" width="18.7109375" customWidth="1"/>
    <col min="9" max="9" width="13.42578125" customWidth="1"/>
    <col min="10" max="10" width="18.28515625" customWidth="1"/>
    <col min="11" max="11" width="18.7109375" customWidth="1"/>
    <col min="12" max="12" width="19.42578125" customWidth="1"/>
  </cols>
  <sheetData>
    <row r="1" spans="1:13" ht="26.4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39"/>
    </row>
    <row r="2" spans="1:13" ht="19.7" customHeight="1">
      <c r="A2" s="2" t="s">
        <v>1</v>
      </c>
      <c r="B2" s="10"/>
      <c r="C2" s="15"/>
      <c r="D2" s="15"/>
      <c r="E2" s="15"/>
      <c r="F2" s="15"/>
      <c r="G2" s="30"/>
      <c r="H2" s="15"/>
      <c r="I2" s="15"/>
      <c r="J2" s="15"/>
      <c r="K2" s="15"/>
    </row>
    <row r="3" spans="1:13" ht="13.5">
      <c r="A3" s="3" t="s">
        <v>2</v>
      </c>
      <c r="B3" s="11"/>
      <c r="C3" s="16"/>
      <c r="D3" s="16"/>
      <c r="E3" s="16"/>
      <c r="F3" s="16"/>
      <c r="G3" s="31"/>
      <c r="H3" s="37" t="s">
        <v>151</v>
      </c>
      <c r="I3" s="37"/>
      <c r="J3" s="38"/>
      <c r="K3" s="40" t="s">
        <v>156</v>
      </c>
      <c r="L3" s="42"/>
    </row>
    <row r="4" spans="1:13" ht="19.7" customHeight="1">
      <c r="A4" s="4" t="s">
        <v>3</v>
      </c>
      <c r="B4" s="12" t="s">
        <v>87</v>
      </c>
      <c r="C4" s="12" t="s">
        <v>143</v>
      </c>
      <c r="D4" s="4" t="s">
        <v>144</v>
      </c>
      <c r="E4" s="24" t="s">
        <v>145</v>
      </c>
      <c r="F4" s="4" t="s">
        <v>149</v>
      </c>
      <c r="G4" s="32" t="s">
        <v>150</v>
      </c>
      <c r="H4" s="24" t="s">
        <v>152</v>
      </c>
      <c r="I4" s="4" t="s">
        <v>153</v>
      </c>
      <c r="J4" s="24" t="s">
        <v>155</v>
      </c>
      <c r="K4" s="12" t="s">
        <v>157</v>
      </c>
      <c r="L4" s="43" t="s">
        <v>159</v>
      </c>
      <c r="M4" s="45"/>
    </row>
    <row r="5" spans="1:13" ht="15.95" customHeight="1">
      <c r="A5" s="5" t="s">
        <v>4</v>
      </c>
      <c r="B5" s="5" t="s">
        <v>88</v>
      </c>
      <c r="C5" s="17"/>
      <c r="D5" s="23"/>
      <c r="E5" s="25">
        <v>3104663.27</v>
      </c>
      <c r="F5" s="27">
        <v>12.1031</v>
      </c>
      <c r="G5" s="23"/>
      <c r="H5" s="25">
        <v>3104663.27</v>
      </c>
      <c r="I5" s="27">
        <v>12.1031</v>
      </c>
      <c r="J5" s="25"/>
      <c r="K5" s="5"/>
      <c r="L5" s="5"/>
      <c r="M5" s="46"/>
    </row>
    <row r="6" spans="1:13" ht="15.95" customHeight="1">
      <c r="A6" s="6" t="s">
        <v>5</v>
      </c>
      <c r="B6" s="6" t="s">
        <v>89</v>
      </c>
      <c r="C6" s="18"/>
      <c r="D6" s="20"/>
      <c r="E6" s="26">
        <v>3103685.58</v>
      </c>
      <c r="F6" s="19">
        <v>12.099299999999999</v>
      </c>
      <c r="G6" s="20"/>
      <c r="H6" s="26">
        <v>3103685.58</v>
      </c>
      <c r="I6" s="19">
        <v>12.099299999999999</v>
      </c>
      <c r="J6" s="26"/>
      <c r="K6" s="6"/>
      <c r="L6" s="6"/>
      <c r="M6" s="45"/>
    </row>
    <row r="7" spans="1:13" ht="15.95" customHeight="1">
      <c r="A7" s="6" t="s">
        <v>6</v>
      </c>
      <c r="B7" s="6" t="s">
        <v>90</v>
      </c>
      <c r="C7" s="18"/>
      <c r="D7" s="20"/>
      <c r="E7" s="26">
        <v>3103685.58</v>
      </c>
      <c r="F7" s="19">
        <v>12.099299999999999</v>
      </c>
      <c r="G7" s="20"/>
      <c r="H7" s="26">
        <v>3103685.58</v>
      </c>
      <c r="I7" s="19">
        <v>12.099299999999999</v>
      </c>
      <c r="J7" s="26"/>
      <c r="K7" s="6"/>
      <c r="L7" s="6"/>
      <c r="M7" s="45"/>
    </row>
    <row r="8" spans="1:13" ht="15.95" customHeight="1">
      <c r="A8" s="6" t="s">
        <v>7</v>
      </c>
      <c r="B8" s="6" t="s">
        <v>91</v>
      </c>
      <c r="C8" s="18"/>
      <c r="D8" s="20"/>
      <c r="E8" s="26">
        <v>977.69</v>
      </c>
      <c r="F8" s="19">
        <v>3.8E-3</v>
      </c>
      <c r="G8" s="20"/>
      <c r="H8" s="26">
        <v>977.69</v>
      </c>
      <c r="I8" s="19">
        <v>3.8E-3</v>
      </c>
      <c r="J8" s="26"/>
      <c r="K8" s="6"/>
      <c r="L8" s="6"/>
      <c r="M8" s="45"/>
    </row>
    <row r="9" spans="1:13" ht="15.95" customHeight="1">
      <c r="A9" s="6" t="s">
        <v>8</v>
      </c>
      <c r="B9" s="6" t="s">
        <v>92</v>
      </c>
      <c r="C9" s="18"/>
      <c r="D9" s="20"/>
      <c r="E9" s="26">
        <v>977.69</v>
      </c>
      <c r="F9" s="19">
        <v>3.8E-3</v>
      </c>
      <c r="G9" s="20"/>
      <c r="H9" s="26">
        <v>977.69</v>
      </c>
      <c r="I9" s="19">
        <v>3.8E-3</v>
      </c>
      <c r="J9" s="26"/>
      <c r="K9" s="6"/>
      <c r="L9" s="6"/>
      <c r="M9" s="45"/>
    </row>
    <row r="10" spans="1:13" ht="15.95" customHeight="1">
      <c r="A10" s="6" t="s">
        <v>9</v>
      </c>
      <c r="B10" s="6" t="s">
        <v>93</v>
      </c>
      <c r="C10" s="18"/>
      <c r="D10" s="20"/>
      <c r="E10" s="26">
        <v>977.69</v>
      </c>
      <c r="F10" s="19">
        <v>3.8E-3</v>
      </c>
      <c r="G10" s="20"/>
      <c r="H10" s="26">
        <v>977.69</v>
      </c>
      <c r="I10" s="19">
        <v>3.8E-3</v>
      </c>
      <c r="J10" s="26"/>
      <c r="K10" s="6"/>
      <c r="L10" s="6"/>
      <c r="M10" s="45"/>
    </row>
    <row r="11" spans="1:13" ht="15.95" customHeight="1">
      <c r="A11" s="5" t="s">
        <v>10</v>
      </c>
      <c r="B11" s="5" t="s">
        <v>94</v>
      </c>
      <c r="C11" s="17"/>
      <c r="D11" s="23"/>
      <c r="E11" s="25">
        <v>2285.17</v>
      </c>
      <c r="F11" s="27">
        <v>8.8999999999999999E-3</v>
      </c>
      <c r="G11" s="23"/>
      <c r="H11" s="25">
        <v>2285.17</v>
      </c>
      <c r="I11" s="27">
        <v>8.8999999999999999E-3</v>
      </c>
      <c r="J11" s="25"/>
      <c r="K11" s="5"/>
      <c r="L11" s="5"/>
      <c r="M11" s="46"/>
    </row>
    <row r="12" spans="1:13" ht="15.95" customHeight="1">
      <c r="A12" s="6" t="s">
        <v>11</v>
      </c>
      <c r="B12" s="6" t="s">
        <v>95</v>
      </c>
      <c r="C12" s="18"/>
      <c r="D12" s="20"/>
      <c r="E12" s="26">
        <v>2285.17</v>
      </c>
      <c r="F12" s="19">
        <v>8.8999999999999999E-3</v>
      </c>
      <c r="G12" s="20"/>
      <c r="H12" s="26">
        <v>2285.17</v>
      </c>
      <c r="I12" s="19">
        <v>8.8999999999999999E-3</v>
      </c>
      <c r="J12" s="26"/>
      <c r="K12" s="6"/>
      <c r="L12" s="6"/>
      <c r="M12" s="45"/>
    </row>
    <row r="13" spans="1:13" ht="15.95" customHeight="1">
      <c r="A13" s="6" t="s">
        <v>12</v>
      </c>
      <c r="B13" s="6" t="s">
        <v>96</v>
      </c>
      <c r="C13" s="18"/>
      <c r="D13" s="20"/>
      <c r="E13" s="26">
        <v>2285.17</v>
      </c>
      <c r="F13" s="19">
        <v>8.8999999999999999E-3</v>
      </c>
      <c r="G13" s="20"/>
      <c r="H13" s="26">
        <v>2285.17</v>
      </c>
      <c r="I13" s="19">
        <v>8.8999999999999999E-3</v>
      </c>
      <c r="J13" s="26"/>
      <c r="K13" s="6"/>
      <c r="L13" s="6"/>
      <c r="M13" s="45"/>
    </row>
    <row r="14" spans="1:13" ht="15.95" customHeight="1">
      <c r="A14" s="5" t="s">
        <v>13</v>
      </c>
      <c r="B14" s="5" t="s">
        <v>97</v>
      </c>
      <c r="C14" s="17"/>
      <c r="D14" s="23"/>
      <c r="E14" s="25">
        <v>19158917.219999999</v>
      </c>
      <c r="F14" s="27">
        <v>74.688599999999994</v>
      </c>
      <c r="G14" s="23"/>
      <c r="H14" s="25">
        <v>19158917.219999999</v>
      </c>
      <c r="I14" s="27">
        <v>74.688599999999994</v>
      </c>
      <c r="J14" s="25"/>
      <c r="K14" s="5"/>
      <c r="L14" s="5"/>
      <c r="M14" s="46"/>
    </row>
    <row r="15" spans="1:13" ht="15.95" customHeight="1">
      <c r="A15" s="6" t="s">
        <v>14</v>
      </c>
      <c r="B15" s="6" t="s">
        <v>98</v>
      </c>
      <c r="C15" s="18"/>
      <c r="D15" s="20"/>
      <c r="E15" s="26">
        <v>15948527.560000001</v>
      </c>
      <c r="F15" s="19">
        <v>62.173299999999998</v>
      </c>
      <c r="G15" s="20"/>
      <c r="H15" s="26">
        <v>15948527.560000001</v>
      </c>
      <c r="I15" s="19">
        <v>62.173299999999998</v>
      </c>
      <c r="J15" s="26"/>
      <c r="K15" s="6"/>
      <c r="L15" s="6"/>
      <c r="M15" s="45"/>
    </row>
    <row r="16" spans="1:13" ht="15.95" customHeight="1">
      <c r="A16" s="6" t="s">
        <v>15</v>
      </c>
      <c r="B16" s="6" t="s">
        <v>99</v>
      </c>
      <c r="C16" s="18"/>
      <c r="D16" s="20"/>
      <c r="E16" s="26">
        <v>15948527.560000001</v>
      </c>
      <c r="F16" s="19">
        <v>62.173299999999998</v>
      </c>
      <c r="G16" s="20"/>
      <c r="H16" s="26">
        <v>15948527.560000001</v>
      </c>
      <c r="I16" s="19">
        <v>62.173299999999998</v>
      </c>
      <c r="J16" s="26"/>
      <c r="K16" s="6"/>
      <c r="L16" s="6"/>
      <c r="M16" s="45"/>
    </row>
    <row r="17" spans="1:13" ht="15.95" customHeight="1">
      <c r="A17" s="6" t="s">
        <v>16</v>
      </c>
      <c r="B17" s="6" t="s">
        <v>100</v>
      </c>
      <c r="C17" s="18"/>
      <c r="D17" s="20"/>
      <c r="E17" s="26">
        <v>3210389.66</v>
      </c>
      <c r="F17" s="19">
        <v>12.5153</v>
      </c>
      <c r="G17" s="20"/>
      <c r="H17" s="26">
        <v>3210389.66</v>
      </c>
      <c r="I17" s="19">
        <v>12.5153</v>
      </c>
      <c r="J17" s="26"/>
      <c r="K17" s="6"/>
      <c r="L17" s="6"/>
      <c r="M17" s="45"/>
    </row>
    <row r="18" spans="1:13" ht="15.95" customHeight="1">
      <c r="A18" s="6" t="s">
        <v>17</v>
      </c>
      <c r="B18" s="6" t="s">
        <v>101</v>
      </c>
      <c r="C18" s="18"/>
      <c r="D18" s="20"/>
      <c r="E18" s="26">
        <v>3245289.04</v>
      </c>
      <c r="F18" s="19">
        <v>12.651300000000001</v>
      </c>
      <c r="G18" s="20"/>
      <c r="H18" s="26">
        <v>3245289.04</v>
      </c>
      <c r="I18" s="19">
        <v>12.651300000000001</v>
      </c>
      <c r="J18" s="26"/>
      <c r="K18" s="6"/>
      <c r="L18" s="6"/>
      <c r="M18" s="45"/>
    </row>
    <row r="19" spans="1:13" ht="15.95" customHeight="1">
      <c r="A19" s="6" t="s">
        <v>18</v>
      </c>
      <c r="B19" s="6" t="s">
        <v>102</v>
      </c>
      <c r="C19" s="18"/>
      <c r="D19" s="20"/>
      <c r="E19" s="26">
        <v>-34899.379999999997</v>
      </c>
      <c r="F19" s="19">
        <v>-0.1361</v>
      </c>
      <c r="G19" s="20"/>
      <c r="H19" s="26">
        <v>-34899.379999999997</v>
      </c>
      <c r="I19" s="19">
        <v>-0.1361</v>
      </c>
      <c r="J19" s="26"/>
      <c r="K19" s="6"/>
      <c r="L19" s="6"/>
      <c r="M19" s="45"/>
    </row>
    <row r="20" spans="1:13" ht="15.95" customHeight="1">
      <c r="A20" s="5" t="s">
        <v>19</v>
      </c>
      <c r="B20" s="5" t="s">
        <v>103</v>
      </c>
      <c r="C20" s="17">
        <v>244500</v>
      </c>
      <c r="D20" s="23"/>
      <c r="E20" s="25">
        <v>1962589.27</v>
      </c>
      <c r="F20" s="27">
        <v>7.6509</v>
      </c>
      <c r="G20" s="23"/>
      <c r="H20" s="25">
        <v>2020519.24</v>
      </c>
      <c r="I20" s="27">
        <v>7.8766999999999996</v>
      </c>
      <c r="J20" s="25">
        <v>57929.97</v>
      </c>
      <c r="K20" s="5"/>
      <c r="L20" s="5"/>
      <c r="M20" s="46"/>
    </row>
    <row r="21" spans="1:13" ht="15.95" customHeight="1">
      <c r="A21" s="6" t="s">
        <v>20</v>
      </c>
      <c r="B21" s="6" t="s">
        <v>104</v>
      </c>
      <c r="C21" s="18">
        <v>244500</v>
      </c>
      <c r="D21" s="20"/>
      <c r="E21" s="26">
        <v>1962589.27</v>
      </c>
      <c r="F21" s="19">
        <v>7.6509</v>
      </c>
      <c r="G21" s="20"/>
      <c r="H21" s="26">
        <v>2020519.24</v>
      </c>
      <c r="I21" s="19">
        <v>7.8766999999999996</v>
      </c>
      <c r="J21" s="26">
        <v>57929.97</v>
      </c>
      <c r="K21" s="6"/>
      <c r="L21" s="6"/>
      <c r="M21" s="45"/>
    </row>
    <row r="22" spans="1:13" ht="15.95" customHeight="1">
      <c r="A22" s="6" t="s">
        <v>21</v>
      </c>
      <c r="B22" s="6" t="s">
        <v>105</v>
      </c>
      <c r="C22" s="18">
        <v>244500</v>
      </c>
      <c r="D22" s="20"/>
      <c r="E22" s="26">
        <v>1962589.27</v>
      </c>
      <c r="F22" s="19">
        <v>7.6509</v>
      </c>
      <c r="G22" s="20"/>
      <c r="H22" s="26">
        <v>2020519.24</v>
      </c>
      <c r="I22" s="19">
        <v>7.8766999999999996</v>
      </c>
      <c r="J22" s="26">
        <v>57929.97</v>
      </c>
      <c r="K22" s="6"/>
      <c r="L22" s="6"/>
      <c r="M22" s="45"/>
    </row>
    <row r="23" spans="1:13" ht="15.95" customHeight="1">
      <c r="A23" s="6" t="s">
        <v>22</v>
      </c>
      <c r="B23" s="6" t="s">
        <v>106</v>
      </c>
      <c r="C23" s="18">
        <v>151000</v>
      </c>
      <c r="D23" s="20">
        <v>5.15</v>
      </c>
      <c r="E23" s="26">
        <v>777364.82</v>
      </c>
      <c r="F23" s="19">
        <v>3.0305</v>
      </c>
      <c r="G23" s="20">
        <v>5.04</v>
      </c>
      <c r="H23" s="26">
        <v>761231.32</v>
      </c>
      <c r="I23" s="19">
        <v>2.9676</v>
      </c>
      <c r="J23" s="26">
        <v>-16133.5</v>
      </c>
      <c r="K23" s="6" t="s">
        <v>158</v>
      </c>
      <c r="L23" s="6"/>
      <c r="M23" s="45"/>
    </row>
    <row r="24" spans="1:13" ht="15.95" customHeight="1">
      <c r="A24" s="6" t="s">
        <v>23</v>
      </c>
      <c r="B24" s="6" t="s">
        <v>107</v>
      </c>
      <c r="C24" s="18">
        <v>93500</v>
      </c>
      <c r="D24" s="20">
        <v>12.68</v>
      </c>
      <c r="E24" s="26">
        <v>1185224.45</v>
      </c>
      <c r="F24" s="19">
        <v>4.6204000000000001</v>
      </c>
      <c r="G24" s="20">
        <v>13.47</v>
      </c>
      <c r="H24" s="26">
        <v>1259287.92</v>
      </c>
      <c r="I24" s="19">
        <v>4.9092000000000002</v>
      </c>
      <c r="J24" s="26">
        <v>74063.47</v>
      </c>
      <c r="K24" s="6" t="s">
        <v>158</v>
      </c>
      <c r="L24" s="6"/>
      <c r="M24" s="45"/>
    </row>
    <row r="25" spans="1:13" ht="15.95" customHeight="1">
      <c r="A25" s="6" t="s">
        <v>24</v>
      </c>
      <c r="B25" s="6" t="s">
        <v>108</v>
      </c>
      <c r="C25" s="18"/>
      <c r="D25" s="20"/>
      <c r="E25" s="26">
        <v>57929.97</v>
      </c>
      <c r="F25" s="19">
        <v>0.2258</v>
      </c>
      <c r="G25" s="20"/>
      <c r="H25" s="26">
        <v>57929.97</v>
      </c>
      <c r="I25" s="19">
        <v>0.2258</v>
      </c>
      <c r="J25" s="26"/>
      <c r="K25" s="6"/>
      <c r="L25" s="6"/>
      <c r="M25" s="45"/>
    </row>
    <row r="26" spans="1:13" ht="15.95" customHeight="1">
      <c r="A26" s="6" t="s">
        <v>25</v>
      </c>
      <c r="B26" s="6" t="s">
        <v>106</v>
      </c>
      <c r="C26" s="18"/>
      <c r="D26" s="20"/>
      <c r="E26" s="26">
        <v>-16133.5</v>
      </c>
      <c r="F26" s="19">
        <v>-6.2899999999999998E-2</v>
      </c>
      <c r="G26" s="20"/>
      <c r="H26" s="26">
        <v>-16133.5</v>
      </c>
      <c r="I26" s="19">
        <v>-6.2899999999999998E-2</v>
      </c>
      <c r="J26" s="26"/>
      <c r="K26" s="6"/>
      <c r="L26" s="6"/>
      <c r="M26" s="45"/>
    </row>
    <row r="27" spans="1:13" ht="15.95" customHeight="1">
      <c r="A27" s="6" t="s">
        <v>26</v>
      </c>
      <c r="B27" s="6" t="s">
        <v>107</v>
      </c>
      <c r="C27" s="18"/>
      <c r="D27" s="20"/>
      <c r="E27" s="26">
        <v>74063.47</v>
      </c>
      <c r="F27" s="19">
        <v>0.28870000000000001</v>
      </c>
      <c r="G27" s="20"/>
      <c r="H27" s="26">
        <v>74063.47</v>
      </c>
      <c r="I27" s="19">
        <v>0.28870000000000001</v>
      </c>
      <c r="J27" s="26"/>
      <c r="K27" s="6"/>
      <c r="L27" s="6"/>
      <c r="M27" s="45"/>
    </row>
    <row r="28" spans="1:13" ht="15.95" customHeight="1">
      <c r="A28" s="5" t="s">
        <v>27</v>
      </c>
      <c r="B28" s="5" t="s">
        <v>109</v>
      </c>
      <c r="C28" s="17"/>
      <c r="D28" s="23"/>
      <c r="E28" s="25">
        <v>1374.87</v>
      </c>
      <c r="F28" s="27">
        <v>5.4000000000000003E-3</v>
      </c>
      <c r="G28" s="23"/>
      <c r="H28" s="25">
        <v>1374.87</v>
      </c>
      <c r="I28" s="27">
        <v>5.4000000000000003E-3</v>
      </c>
      <c r="J28" s="25"/>
      <c r="K28" s="5"/>
      <c r="L28" s="5"/>
      <c r="M28" s="46"/>
    </row>
    <row r="29" spans="1:13" ht="15.95" customHeight="1">
      <c r="A29" s="6" t="s">
        <v>28</v>
      </c>
      <c r="B29" s="6" t="s">
        <v>109</v>
      </c>
      <c r="C29" s="18"/>
      <c r="D29" s="20"/>
      <c r="E29" s="26">
        <v>1374.87</v>
      </c>
      <c r="F29" s="19">
        <v>5.4000000000000003E-3</v>
      </c>
      <c r="G29" s="20"/>
      <c r="H29" s="26">
        <v>1374.87</v>
      </c>
      <c r="I29" s="19">
        <v>5.4000000000000003E-3</v>
      </c>
      <c r="J29" s="26"/>
      <c r="K29" s="6"/>
      <c r="L29" s="6"/>
      <c r="M29" s="45"/>
    </row>
    <row r="30" spans="1:13" ht="15.95" customHeight="1">
      <c r="A30" s="5" t="s">
        <v>29</v>
      </c>
      <c r="B30" s="5" t="s">
        <v>110</v>
      </c>
      <c r="C30" s="17"/>
      <c r="D30" s="23"/>
      <c r="E30" s="25">
        <v>43996.62</v>
      </c>
      <c r="F30" s="27">
        <v>0.17150000000000001</v>
      </c>
      <c r="G30" s="23"/>
      <c r="H30" s="25">
        <v>43996.62</v>
      </c>
      <c r="I30" s="27">
        <v>0.17150000000000001</v>
      </c>
      <c r="J30" s="25"/>
      <c r="K30" s="5"/>
      <c r="L30" s="5"/>
      <c r="M30" s="46"/>
    </row>
    <row r="31" spans="1:13" ht="15.95" customHeight="1">
      <c r="A31" s="6" t="s">
        <v>30</v>
      </c>
      <c r="B31" s="6" t="s">
        <v>110</v>
      </c>
      <c r="C31" s="18"/>
      <c r="D31" s="20"/>
      <c r="E31" s="26">
        <v>43996.62</v>
      </c>
      <c r="F31" s="19">
        <v>0.17150000000000001</v>
      </c>
      <c r="G31" s="20"/>
      <c r="H31" s="26">
        <v>43996.62</v>
      </c>
      <c r="I31" s="19">
        <v>0.17150000000000001</v>
      </c>
      <c r="J31" s="26"/>
      <c r="K31" s="6"/>
      <c r="L31" s="6"/>
      <c r="M31" s="45"/>
    </row>
    <row r="32" spans="1:13" ht="15.95" customHeight="1">
      <c r="A32" s="5" t="s">
        <v>31</v>
      </c>
      <c r="B32" s="5" t="s">
        <v>111</v>
      </c>
      <c r="C32" s="17"/>
      <c r="D32" s="23"/>
      <c r="E32" s="25">
        <v>1374.87</v>
      </c>
      <c r="F32" s="27">
        <v>5.4000000000000003E-3</v>
      </c>
      <c r="G32" s="23"/>
      <c r="H32" s="25">
        <v>1374.87</v>
      </c>
      <c r="I32" s="27">
        <v>5.4000000000000003E-3</v>
      </c>
      <c r="J32" s="25"/>
      <c r="K32" s="5"/>
      <c r="L32" s="5"/>
      <c r="M32" s="46"/>
    </row>
    <row r="33" spans="1:13" ht="15.95" customHeight="1">
      <c r="A33" s="6" t="s">
        <v>32</v>
      </c>
      <c r="B33" s="6" t="s">
        <v>111</v>
      </c>
      <c r="C33" s="18"/>
      <c r="D33" s="20"/>
      <c r="E33" s="26">
        <v>1374.87</v>
      </c>
      <c r="F33" s="19">
        <v>5.4000000000000003E-3</v>
      </c>
      <c r="G33" s="20"/>
      <c r="H33" s="26">
        <v>1374.87</v>
      </c>
      <c r="I33" s="19">
        <v>5.4000000000000003E-3</v>
      </c>
      <c r="J33" s="26"/>
      <c r="K33" s="6"/>
      <c r="L33" s="6"/>
      <c r="M33" s="45"/>
    </row>
    <row r="34" spans="1:13" ht="15.95" customHeight="1">
      <c r="A34" s="5" t="s">
        <v>33</v>
      </c>
      <c r="B34" s="5" t="s">
        <v>112</v>
      </c>
      <c r="C34" s="17"/>
      <c r="D34" s="23"/>
      <c r="E34" s="25">
        <v>54995.8</v>
      </c>
      <c r="F34" s="27">
        <v>0.21440000000000001</v>
      </c>
      <c r="G34" s="23"/>
      <c r="H34" s="25">
        <v>54995.8</v>
      </c>
      <c r="I34" s="27">
        <v>0.21440000000000001</v>
      </c>
      <c r="J34" s="25"/>
      <c r="K34" s="5"/>
      <c r="L34" s="5"/>
      <c r="M34" s="46"/>
    </row>
    <row r="35" spans="1:13" ht="15.95" customHeight="1">
      <c r="A35" s="6" t="s">
        <v>34</v>
      </c>
      <c r="B35" s="6" t="s">
        <v>112</v>
      </c>
      <c r="C35" s="18"/>
      <c r="D35" s="20"/>
      <c r="E35" s="26">
        <v>54995.8</v>
      </c>
      <c r="F35" s="19">
        <v>0.21440000000000001</v>
      </c>
      <c r="G35" s="20"/>
      <c r="H35" s="26">
        <v>54995.8</v>
      </c>
      <c r="I35" s="19">
        <v>0.21440000000000001</v>
      </c>
      <c r="J35" s="26"/>
      <c r="K35" s="6"/>
      <c r="L35" s="6"/>
      <c r="M35" s="45"/>
    </row>
    <row r="36" spans="1:13" ht="15.95" customHeight="1">
      <c r="A36" s="5" t="s">
        <v>35</v>
      </c>
      <c r="B36" s="5" t="s">
        <v>113</v>
      </c>
      <c r="C36" s="17"/>
      <c r="D36" s="23"/>
      <c r="E36" s="25">
        <v>391.44</v>
      </c>
      <c r="F36" s="27">
        <v>1.5E-3</v>
      </c>
      <c r="G36" s="23"/>
      <c r="H36" s="25">
        <v>391.44</v>
      </c>
      <c r="I36" s="27">
        <v>1.5E-3</v>
      </c>
      <c r="J36" s="25"/>
      <c r="K36" s="5"/>
      <c r="L36" s="5"/>
      <c r="M36" s="46"/>
    </row>
    <row r="37" spans="1:13" ht="15.95" customHeight="1">
      <c r="A37" s="6" t="s">
        <v>36</v>
      </c>
      <c r="B37" s="6" t="s">
        <v>114</v>
      </c>
      <c r="C37" s="18"/>
      <c r="D37" s="20"/>
      <c r="E37" s="26">
        <v>391.44</v>
      </c>
      <c r="F37" s="19">
        <v>1.5E-3</v>
      </c>
      <c r="G37" s="20"/>
      <c r="H37" s="26">
        <v>391.44</v>
      </c>
      <c r="I37" s="19">
        <v>1.5E-3</v>
      </c>
      <c r="J37" s="26"/>
      <c r="K37" s="6"/>
      <c r="L37" s="6"/>
      <c r="M37" s="45"/>
    </row>
    <row r="38" spans="1:13" ht="15.95" customHeight="1">
      <c r="A38" s="6" t="s">
        <v>37</v>
      </c>
      <c r="B38" s="6" t="s">
        <v>99</v>
      </c>
      <c r="C38" s="18"/>
      <c r="D38" s="20"/>
      <c r="E38" s="26">
        <v>391.44</v>
      </c>
      <c r="F38" s="19">
        <v>1.5E-3</v>
      </c>
      <c r="G38" s="20"/>
      <c r="H38" s="26">
        <v>391.44</v>
      </c>
      <c r="I38" s="19">
        <v>1.5E-3</v>
      </c>
      <c r="J38" s="26"/>
      <c r="K38" s="6"/>
      <c r="L38" s="6"/>
      <c r="M38" s="45"/>
    </row>
    <row r="39" spans="1:13" ht="15.95" customHeight="1">
      <c r="A39" s="6" t="s">
        <v>38</v>
      </c>
      <c r="B39" s="6" t="s">
        <v>115</v>
      </c>
      <c r="C39" s="18"/>
      <c r="D39" s="20"/>
      <c r="E39" s="26">
        <v>391.44</v>
      </c>
      <c r="F39" s="19">
        <v>1.5E-3</v>
      </c>
      <c r="G39" s="20"/>
      <c r="H39" s="26">
        <v>391.44</v>
      </c>
      <c r="I39" s="19">
        <v>1.5E-3</v>
      </c>
      <c r="J39" s="26"/>
      <c r="K39" s="6"/>
      <c r="L39" s="6"/>
      <c r="M39" s="45"/>
    </row>
    <row r="40" spans="1:13" ht="15.95" customHeight="1">
      <c r="A40" s="5" t="s">
        <v>39</v>
      </c>
      <c r="B40" s="5" t="s">
        <v>116</v>
      </c>
      <c r="C40" s="17"/>
      <c r="D40" s="23"/>
      <c r="E40" s="25">
        <v>1466250.49</v>
      </c>
      <c r="F40" s="27">
        <v>5.7160000000000002</v>
      </c>
      <c r="G40" s="23"/>
      <c r="H40" s="25">
        <v>1466250.49</v>
      </c>
      <c r="I40" s="27">
        <v>5.7160000000000002</v>
      </c>
      <c r="J40" s="25"/>
      <c r="K40" s="5"/>
      <c r="L40" s="5"/>
      <c r="M40" s="46"/>
    </row>
    <row r="41" spans="1:13" ht="15.95" customHeight="1">
      <c r="A41" s="6" t="s">
        <v>40</v>
      </c>
      <c r="B41" s="6" t="s">
        <v>117</v>
      </c>
      <c r="C41" s="18"/>
      <c r="D41" s="20"/>
      <c r="E41" s="26">
        <v>1466250.49</v>
      </c>
      <c r="F41" s="19">
        <v>5.7160000000000002</v>
      </c>
      <c r="G41" s="20"/>
      <c r="H41" s="26">
        <v>1466250.49</v>
      </c>
      <c r="I41" s="19">
        <v>5.7160000000000002</v>
      </c>
      <c r="J41" s="26"/>
      <c r="K41" s="6"/>
      <c r="L41" s="6"/>
      <c r="M41" s="45"/>
    </row>
    <row r="42" spans="1:13" ht="15.95" customHeight="1">
      <c r="A42" s="6" t="s">
        <v>41</v>
      </c>
      <c r="B42" s="6" t="s">
        <v>118</v>
      </c>
      <c r="C42" s="18"/>
      <c r="D42" s="20"/>
      <c r="E42" s="26">
        <v>1466250.49</v>
      </c>
      <c r="F42" s="19">
        <v>5.7160000000000002</v>
      </c>
      <c r="G42" s="20"/>
      <c r="H42" s="26">
        <v>1466250.49</v>
      </c>
      <c r="I42" s="19">
        <v>5.7160000000000002</v>
      </c>
      <c r="J42" s="26"/>
      <c r="K42" s="6"/>
      <c r="L42" s="6"/>
      <c r="M42" s="45"/>
    </row>
    <row r="43" spans="1:13" ht="15.95" customHeight="1">
      <c r="A43" s="5" t="s">
        <v>42</v>
      </c>
      <c r="B43" s="5" t="s">
        <v>119</v>
      </c>
      <c r="C43" s="17"/>
      <c r="D43" s="23"/>
      <c r="E43" s="25"/>
      <c r="F43" s="27"/>
      <c r="G43" s="23"/>
      <c r="H43" s="25">
        <v>1237.26</v>
      </c>
      <c r="I43" s="27">
        <v>4.7999999999999996E-3</v>
      </c>
      <c r="J43" s="25">
        <v>1237.26</v>
      </c>
      <c r="K43" s="5"/>
      <c r="L43" s="5"/>
      <c r="M43" s="46"/>
    </row>
    <row r="44" spans="1:13" ht="15.95" customHeight="1">
      <c r="A44" s="6" t="s">
        <v>43</v>
      </c>
      <c r="B44" s="6" t="s">
        <v>120</v>
      </c>
      <c r="C44" s="18"/>
      <c r="D44" s="20"/>
      <c r="E44" s="26"/>
      <c r="F44" s="19"/>
      <c r="G44" s="20"/>
      <c r="H44" s="26">
        <v>1237.26</v>
      </c>
      <c r="I44" s="19">
        <v>4.7999999999999996E-3</v>
      </c>
      <c r="J44" s="26">
        <v>1237.26</v>
      </c>
      <c r="K44" s="6"/>
      <c r="L44" s="6"/>
      <c r="M44" s="45"/>
    </row>
    <row r="45" spans="1:13" ht="15.95" customHeight="1">
      <c r="A45" s="6" t="s">
        <v>44</v>
      </c>
      <c r="B45" s="6" t="s">
        <v>121</v>
      </c>
      <c r="C45" s="18"/>
      <c r="D45" s="20"/>
      <c r="E45" s="26"/>
      <c r="F45" s="19"/>
      <c r="G45" s="20"/>
      <c r="H45" s="26">
        <v>1237.26</v>
      </c>
      <c r="I45" s="19">
        <v>4.7999999999999996E-3</v>
      </c>
      <c r="J45" s="26">
        <v>1237.26</v>
      </c>
      <c r="K45" s="6"/>
      <c r="L45" s="6"/>
      <c r="M45" s="45"/>
    </row>
    <row r="46" spans="1:13" ht="15.95" customHeight="1">
      <c r="A46" s="6" t="s">
        <v>45</v>
      </c>
      <c r="B46" s="6" t="s">
        <v>122</v>
      </c>
      <c r="C46" s="18"/>
      <c r="D46" s="20"/>
      <c r="E46" s="26"/>
      <c r="F46" s="19"/>
      <c r="G46" s="20"/>
      <c r="H46" s="26">
        <v>-66.23</v>
      </c>
      <c r="I46" s="19">
        <v>-2.9999999999999997E-4</v>
      </c>
      <c r="J46" s="26">
        <v>-66.23</v>
      </c>
      <c r="K46" s="6"/>
      <c r="L46" s="6"/>
      <c r="M46" s="45"/>
    </row>
    <row r="47" spans="1:13" ht="15.95" customHeight="1">
      <c r="A47" s="6" t="s">
        <v>46</v>
      </c>
      <c r="B47" s="6" t="s">
        <v>123</v>
      </c>
      <c r="C47" s="18"/>
      <c r="D47" s="20"/>
      <c r="E47" s="26"/>
      <c r="F47" s="19"/>
      <c r="G47" s="20"/>
      <c r="H47" s="26">
        <v>13.43</v>
      </c>
      <c r="I47" s="19">
        <v>1E-4</v>
      </c>
      <c r="J47" s="26">
        <v>13.43</v>
      </c>
      <c r="K47" s="6"/>
      <c r="L47" s="6"/>
      <c r="M47" s="45"/>
    </row>
    <row r="48" spans="1:13" ht="15.95" customHeight="1">
      <c r="A48" s="6" t="s">
        <v>47</v>
      </c>
      <c r="B48" s="6" t="s">
        <v>124</v>
      </c>
      <c r="C48" s="18"/>
      <c r="D48" s="20"/>
      <c r="E48" s="26"/>
      <c r="F48" s="19"/>
      <c r="G48" s="20"/>
      <c r="H48" s="26">
        <v>1290.06</v>
      </c>
      <c r="I48" s="19">
        <v>5.0000000000000001E-3</v>
      </c>
      <c r="J48" s="26">
        <v>1290.06</v>
      </c>
      <c r="K48" s="6"/>
      <c r="L48" s="6"/>
      <c r="M48" s="45"/>
    </row>
    <row r="49" spans="1:13" ht="15.95" customHeight="1">
      <c r="A49" s="6" t="s">
        <v>48</v>
      </c>
      <c r="B49" s="6" t="s">
        <v>125</v>
      </c>
      <c r="C49" s="18"/>
      <c r="D49" s="20"/>
      <c r="E49" s="26">
        <v>1237.26</v>
      </c>
      <c r="F49" s="19">
        <v>4.7999999999999996E-3</v>
      </c>
      <c r="G49" s="20"/>
      <c r="H49" s="26">
        <v>1237.26</v>
      </c>
      <c r="I49" s="19">
        <v>4.7999999999999996E-3</v>
      </c>
      <c r="J49" s="26"/>
      <c r="K49" s="6"/>
      <c r="L49" s="6"/>
      <c r="M49" s="45"/>
    </row>
    <row r="50" spans="1:13" ht="15.95" customHeight="1">
      <c r="A50" s="6" t="s">
        <v>49</v>
      </c>
      <c r="B50" s="6" t="s">
        <v>122</v>
      </c>
      <c r="C50" s="18"/>
      <c r="D50" s="20"/>
      <c r="E50" s="26">
        <v>-66.23</v>
      </c>
      <c r="F50" s="19">
        <v>-2.9999999999999997E-4</v>
      </c>
      <c r="G50" s="20"/>
      <c r="H50" s="26">
        <v>-66.23</v>
      </c>
      <c r="I50" s="19">
        <v>-2.9999999999999997E-4</v>
      </c>
      <c r="J50" s="26"/>
      <c r="K50" s="6"/>
      <c r="L50" s="6"/>
      <c r="M50" s="45"/>
    </row>
    <row r="51" spans="1:13" ht="15.95" customHeight="1">
      <c r="A51" s="6" t="s">
        <v>50</v>
      </c>
      <c r="B51" s="6" t="s">
        <v>123</v>
      </c>
      <c r="C51" s="18"/>
      <c r="D51" s="20"/>
      <c r="E51" s="26">
        <v>13.43</v>
      </c>
      <c r="F51" s="19">
        <v>1E-4</v>
      </c>
      <c r="G51" s="20"/>
      <c r="H51" s="26">
        <v>13.43</v>
      </c>
      <c r="I51" s="19">
        <v>1E-4</v>
      </c>
      <c r="J51" s="26"/>
      <c r="K51" s="6"/>
      <c r="L51" s="6"/>
      <c r="M51" s="45"/>
    </row>
    <row r="52" spans="1:13" ht="15.95" customHeight="1">
      <c r="A52" s="6" t="s">
        <v>51</v>
      </c>
      <c r="B52" s="6" t="s">
        <v>124</v>
      </c>
      <c r="C52" s="18"/>
      <c r="D52" s="20"/>
      <c r="E52" s="26">
        <v>1290.06</v>
      </c>
      <c r="F52" s="19">
        <v>5.0000000000000001E-3</v>
      </c>
      <c r="G52" s="20"/>
      <c r="H52" s="26">
        <v>1290.06</v>
      </c>
      <c r="I52" s="19">
        <v>5.0000000000000001E-3</v>
      </c>
      <c r="J52" s="26"/>
      <c r="K52" s="6"/>
      <c r="L52" s="6"/>
      <c r="M52" s="45"/>
    </row>
    <row r="53" spans="1:13" ht="15.95" customHeight="1">
      <c r="A53" s="6"/>
      <c r="B53" s="13"/>
      <c r="C53" s="19"/>
      <c r="D53" s="20"/>
      <c r="E53" s="26"/>
      <c r="F53" s="28"/>
      <c r="G53" s="13"/>
      <c r="H53" s="26"/>
      <c r="I53" s="28"/>
      <c r="J53" s="26"/>
      <c r="K53" s="6"/>
      <c r="L53" s="6"/>
      <c r="M53" s="45"/>
    </row>
    <row r="54" spans="1:13" ht="15.95" customHeight="1">
      <c r="A54" s="6" t="s">
        <v>52</v>
      </c>
      <c r="B54" s="13"/>
      <c r="C54" s="19"/>
      <c r="D54" s="20"/>
      <c r="E54" s="26">
        <v>1962589.27</v>
      </c>
      <c r="F54" s="28">
        <v>7.6509</v>
      </c>
      <c r="G54" s="13"/>
      <c r="H54" s="26">
        <v>2020519.24</v>
      </c>
      <c r="I54" s="28">
        <v>7.8766999999999996</v>
      </c>
      <c r="J54" s="26">
        <v>57929.97</v>
      </c>
      <c r="K54" s="6"/>
      <c r="L54" s="6"/>
      <c r="M54" s="45"/>
    </row>
    <row r="55" spans="1:13" ht="15.95" customHeight="1">
      <c r="A55" s="6" t="s">
        <v>53</v>
      </c>
      <c r="B55" s="13"/>
      <c r="C55" s="19"/>
      <c r="D55" s="20"/>
      <c r="E55" s="26">
        <v>1962589.27</v>
      </c>
      <c r="F55" s="28">
        <v>7.6509</v>
      </c>
      <c r="G55" s="13"/>
      <c r="H55" s="26">
        <v>2020519.24</v>
      </c>
      <c r="I55" s="28">
        <v>7.8766999999999996</v>
      </c>
      <c r="J55" s="26">
        <v>57929.97</v>
      </c>
      <c r="K55" s="6"/>
      <c r="L55" s="6"/>
      <c r="M55" s="45"/>
    </row>
    <row r="56" spans="1:13" ht="15.95" customHeight="1">
      <c r="A56" s="6" t="s">
        <v>54</v>
      </c>
      <c r="B56" s="13"/>
      <c r="C56" s="19"/>
      <c r="D56" s="20"/>
      <c r="E56" s="26"/>
      <c r="F56" s="28"/>
      <c r="G56" s="13"/>
      <c r="H56" s="26"/>
      <c r="I56" s="28"/>
      <c r="J56" s="26"/>
      <c r="K56" s="6"/>
      <c r="L56" s="6"/>
      <c r="M56" s="45"/>
    </row>
    <row r="57" spans="1:13" ht="15.95" customHeight="1">
      <c r="A57" s="6" t="s">
        <v>55</v>
      </c>
      <c r="B57" s="13"/>
      <c r="C57" s="19"/>
      <c r="D57" s="20"/>
      <c r="E57" s="26"/>
      <c r="F57" s="28"/>
      <c r="G57" s="13"/>
      <c r="H57" s="26"/>
      <c r="I57" s="28"/>
      <c r="J57" s="26"/>
      <c r="K57" s="6"/>
      <c r="L57" s="6"/>
      <c r="M57" s="45"/>
    </row>
    <row r="58" spans="1:13" ht="15.95" customHeight="1">
      <c r="A58" s="6" t="s">
        <v>56</v>
      </c>
      <c r="B58" s="13"/>
      <c r="C58" s="19"/>
      <c r="D58" s="20"/>
      <c r="E58" s="26"/>
      <c r="F58" s="28"/>
      <c r="G58" s="13"/>
      <c r="H58" s="26"/>
      <c r="I58" s="28"/>
      <c r="J58" s="26"/>
      <c r="K58" s="6"/>
      <c r="L58" s="6"/>
      <c r="M58" s="45"/>
    </row>
    <row r="59" spans="1:13" ht="15.95" customHeight="1">
      <c r="A59" s="6"/>
      <c r="B59" s="13"/>
      <c r="C59" s="19"/>
      <c r="D59" s="20"/>
      <c r="E59" s="26"/>
      <c r="F59" s="28"/>
      <c r="G59" s="13"/>
      <c r="H59" s="26"/>
      <c r="I59" s="28"/>
      <c r="J59" s="26"/>
      <c r="K59" s="6"/>
      <c r="L59" s="6"/>
      <c r="M59" s="45"/>
    </row>
    <row r="60" spans="1:13" ht="15.95" customHeight="1">
      <c r="A60" s="6" t="s">
        <v>57</v>
      </c>
      <c r="B60" s="13"/>
      <c r="C60" s="19"/>
      <c r="D60" s="20"/>
      <c r="E60" s="26"/>
      <c r="F60" s="28"/>
      <c r="G60" s="13"/>
      <c r="H60" s="26"/>
      <c r="I60" s="28"/>
      <c r="J60" s="26"/>
      <c r="K60" s="6"/>
      <c r="L60" s="6"/>
      <c r="M60" s="45"/>
    </row>
    <row r="61" spans="1:13" ht="15.95" customHeight="1">
      <c r="A61" s="6"/>
      <c r="B61" s="13"/>
      <c r="C61" s="19"/>
      <c r="D61" s="20"/>
      <c r="E61" s="26"/>
      <c r="F61" s="28"/>
      <c r="G61" s="13"/>
      <c r="H61" s="26"/>
      <c r="I61" s="28"/>
      <c r="J61" s="26"/>
      <c r="K61" s="6"/>
      <c r="L61" s="6"/>
      <c r="M61" s="45"/>
    </row>
    <row r="62" spans="1:13" ht="15.95" customHeight="1">
      <c r="A62" s="6" t="s">
        <v>58</v>
      </c>
      <c r="B62" s="13"/>
      <c r="C62" s="20">
        <v>21222940.420000002</v>
      </c>
      <c r="D62" s="13">
        <v>1</v>
      </c>
      <c r="E62" s="26">
        <v>21222940.420000002</v>
      </c>
      <c r="F62" s="28">
        <v>82.734899999999996</v>
      </c>
      <c r="G62" s="13"/>
      <c r="H62" s="26">
        <v>21222940.420000002</v>
      </c>
      <c r="I62" s="28">
        <v>82.734899999999996</v>
      </c>
      <c r="J62" s="26"/>
      <c r="K62" s="6"/>
      <c r="L62" s="6"/>
      <c r="M62" s="45"/>
    </row>
    <row r="63" spans="1:13" ht="15.95" customHeight="1">
      <c r="A63" s="6" t="s">
        <v>59</v>
      </c>
      <c r="B63" s="13"/>
      <c r="C63" s="20">
        <v>21222940.420000002</v>
      </c>
      <c r="D63" s="20"/>
      <c r="E63" s="20">
        <v>21222940.420000002</v>
      </c>
      <c r="F63" s="28">
        <v>82.734899999999996</v>
      </c>
      <c r="G63" s="13"/>
      <c r="H63" s="20">
        <v>21222940.420000002</v>
      </c>
      <c r="I63" s="28">
        <v>82.734899999999996</v>
      </c>
      <c r="J63" s="26"/>
      <c r="K63" s="6"/>
      <c r="L63" s="6"/>
      <c r="M63" s="45"/>
    </row>
    <row r="64" spans="1:13" ht="15.95" customHeight="1">
      <c r="A64" s="6" t="s">
        <v>60</v>
      </c>
      <c r="B64" s="13"/>
      <c r="C64" s="19"/>
      <c r="D64" s="20"/>
      <c r="E64" s="26">
        <v>170194.21</v>
      </c>
      <c r="F64" s="28">
        <v>0.66349999999999998</v>
      </c>
      <c r="G64" s="13"/>
      <c r="H64" s="26">
        <v>170194.21</v>
      </c>
      <c r="I64" s="28">
        <v>0.66349999999999998</v>
      </c>
      <c r="J64" s="26"/>
      <c r="K64" s="6"/>
      <c r="L64" s="6"/>
      <c r="M64" s="45"/>
    </row>
    <row r="65" spans="1:13" ht="15.95" customHeight="1">
      <c r="A65" s="6" t="s">
        <v>61</v>
      </c>
      <c r="B65" s="13"/>
      <c r="C65" s="19"/>
      <c r="D65" s="20"/>
      <c r="E65" s="26">
        <v>1018881.01</v>
      </c>
      <c r="F65" s="28">
        <v>3.972</v>
      </c>
      <c r="G65" s="13"/>
      <c r="H65" s="26">
        <v>1018881.01</v>
      </c>
      <c r="I65" s="28">
        <v>3.972</v>
      </c>
      <c r="J65" s="26"/>
      <c r="K65" s="6"/>
      <c r="L65" s="6"/>
      <c r="M65" s="45"/>
    </row>
    <row r="66" spans="1:13" ht="15.95" customHeight="1">
      <c r="A66" s="6" t="s">
        <v>62</v>
      </c>
      <c r="B66" s="13"/>
      <c r="C66" s="19"/>
      <c r="D66" s="20"/>
      <c r="E66" s="26">
        <v>25694705.420000002</v>
      </c>
      <c r="F66" s="28">
        <v>100.1675</v>
      </c>
      <c r="G66" s="13"/>
      <c r="H66" s="26">
        <v>25753872.649999999</v>
      </c>
      <c r="I66" s="28">
        <v>100.3982</v>
      </c>
      <c r="J66" s="26">
        <v>59167.23</v>
      </c>
      <c r="K66" s="6"/>
      <c r="L66" s="6"/>
      <c r="M66" s="45"/>
    </row>
    <row r="67" spans="1:13" ht="15.95" customHeight="1">
      <c r="A67" s="6" t="s">
        <v>63</v>
      </c>
      <c r="B67" s="13"/>
      <c r="C67" s="19"/>
      <c r="D67" s="20"/>
      <c r="E67" s="26">
        <v>102133.6</v>
      </c>
      <c r="F67" s="28">
        <v>0.3982</v>
      </c>
      <c r="G67" s="13"/>
      <c r="H67" s="26">
        <v>102133.6</v>
      </c>
      <c r="I67" s="28">
        <v>0.3982</v>
      </c>
      <c r="J67" s="26"/>
      <c r="K67" s="6"/>
      <c r="L67" s="6"/>
      <c r="M67" s="45"/>
    </row>
    <row r="68" spans="1:13" ht="15.95" customHeight="1">
      <c r="A68" s="6"/>
      <c r="B68" s="13"/>
      <c r="C68" s="19"/>
      <c r="D68" s="20"/>
      <c r="E68" s="26"/>
      <c r="F68" s="28"/>
      <c r="G68" s="13"/>
      <c r="H68" s="26"/>
      <c r="I68" s="28"/>
      <c r="J68" s="26"/>
      <c r="K68" s="6"/>
      <c r="L68" s="6"/>
      <c r="M68" s="45"/>
    </row>
    <row r="69" spans="1:13" ht="15.95" customHeight="1">
      <c r="A69" s="6"/>
      <c r="B69" s="13"/>
      <c r="C69" s="19"/>
      <c r="D69" s="20"/>
      <c r="E69" s="26"/>
      <c r="F69" s="28"/>
      <c r="G69" s="13"/>
      <c r="H69" s="26"/>
      <c r="I69" s="28"/>
      <c r="J69" s="26"/>
      <c r="K69" s="6"/>
      <c r="L69" s="6"/>
      <c r="M69" s="45"/>
    </row>
    <row r="70" spans="1:13" ht="15.95" customHeight="1">
      <c r="A70" s="6" t="s">
        <v>64</v>
      </c>
      <c r="B70" s="13"/>
      <c r="C70" s="20"/>
      <c r="D70" s="20"/>
      <c r="E70" s="20">
        <v>25592571.82</v>
      </c>
      <c r="F70" s="28">
        <v>99.769300000000001</v>
      </c>
      <c r="G70" s="13"/>
      <c r="H70" s="20">
        <v>25651739.050000001</v>
      </c>
      <c r="I70" s="28">
        <v>100</v>
      </c>
      <c r="J70" s="26">
        <v>59167.23</v>
      </c>
      <c r="K70" s="6"/>
      <c r="L70" s="6"/>
      <c r="M70" s="45"/>
    </row>
    <row r="71" spans="1:13" ht="12">
      <c r="A71" s="6" t="s">
        <v>65</v>
      </c>
      <c r="B71" s="14" t="s">
        <v>126</v>
      </c>
      <c r="C71" s="21"/>
      <c r="D71" s="20"/>
      <c r="E71" s="14" t="s">
        <v>146</v>
      </c>
      <c r="F71" s="28"/>
      <c r="G71" s="13"/>
      <c r="H71" s="14" t="s">
        <v>126</v>
      </c>
      <c r="I71" s="28"/>
      <c r="J71" s="26"/>
      <c r="K71" s="6"/>
      <c r="L71" s="6"/>
      <c r="M71" s="45"/>
    </row>
    <row r="72" spans="1:13" ht="12">
      <c r="A72" s="6" t="s">
        <v>66</v>
      </c>
      <c r="B72" s="14" t="s">
        <v>126</v>
      </c>
      <c r="C72" s="21"/>
      <c r="D72" s="20"/>
      <c r="E72" s="14"/>
      <c r="F72" s="28"/>
      <c r="G72" s="13"/>
      <c r="H72" s="14" t="s">
        <v>126</v>
      </c>
      <c r="I72" s="28"/>
      <c r="J72" s="26"/>
      <c r="K72" s="6"/>
      <c r="L72" s="6"/>
      <c r="M72" s="45"/>
    </row>
    <row r="73" spans="1:13" ht="12">
      <c r="A73" s="6"/>
      <c r="B73" s="14"/>
      <c r="C73" s="21"/>
      <c r="D73" s="20"/>
      <c r="E73" s="14"/>
      <c r="F73" s="28"/>
      <c r="G73" s="13"/>
      <c r="H73" s="14"/>
      <c r="I73" s="28"/>
      <c r="J73" s="26"/>
      <c r="K73" s="6"/>
      <c r="L73" s="6"/>
      <c r="M73" s="45"/>
    </row>
    <row r="74" spans="1:13" ht="12">
      <c r="A74" s="6" t="s">
        <v>67</v>
      </c>
      <c r="B74" s="14" t="s">
        <v>127</v>
      </c>
      <c r="C74" s="21"/>
      <c r="D74" s="20"/>
      <c r="E74" s="14"/>
      <c r="F74" s="28"/>
      <c r="G74" s="13"/>
      <c r="H74" s="14"/>
      <c r="I74" s="28"/>
      <c r="J74" s="26"/>
      <c r="K74" s="6"/>
      <c r="L74" s="6"/>
      <c r="M74" s="45"/>
    </row>
    <row r="75" spans="1:13" ht="12">
      <c r="A75" s="6" t="s">
        <v>68</v>
      </c>
      <c r="B75" s="14" t="s">
        <v>128</v>
      </c>
      <c r="C75" s="21"/>
      <c r="D75" s="20"/>
      <c r="E75" s="14"/>
      <c r="F75" s="28"/>
      <c r="G75" s="13"/>
      <c r="H75" s="14"/>
      <c r="I75" s="28"/>
      <c r="J75" s="26"/>
      <c r="K75" s="6"/>
      <c r="L75" s="6"/>
      <c r="M75" s="45"/>
    </row>
    <row r="76" spans="1:13" ht="12">
      <c r="A76" s="6" t="s">
        <v>69</v>
      </c>
      <c r="B76" s="14" t="s">
        <v>129</v>
      </c>
      <c r="C76" s="21"/>
      <c r="D76" s="20"/>
      <c r="E76" s="14"/>
      <c r="F76" s="28"/>
      <c r="G76" s="13"/>
      <c r="H76" s="14"/>
      <c r="I76" s="28"/>
      <c r="J76" s="26"/>
      <c r="K76" s="6"/>
      <c r="L76" s="6"/>
      <c r="M76" s="45"/>
    </row>
    <row r="77" spans="1:13" ht="12">
      <c r="A77" s="6" t="s">
        <v>70</v>
      </c>
      <c r="B77" s="14" t="s">
        <v>130</v>
      </c>
      <c r="C77" s="21"/>
      <c r="D77" s="20"/>
      <c r="E77" s="14"/>
      <c r="F77" s="28"/>
      <c r="G77" s="13"/>
      <c r="H77" s="14"/>
      <c r="I77" s="28"/>
      <c r="J77" s="26"/>
      <c r="K77" s="6"/>
      <c r="L77" s="6"/>
      <c r="M77" s="45"/>
    </row>
    <row r="78" spans="1:13" ht="12">
      <c r="A78" s="6"/>
      <c r="B78" s="14"/>
      <c r="C78" s="21"/>
      <c r="D78" s="20"/>
      <c r="E78" s="14"/>
      <c r="F78" s="28"/>
      <c r="G78" s="13"/>
      <c r="H78" s="14"/>
      <c r="I78" s="28"/>
      <c r="J78" s="26"/>
      <c r="K78" s="6"/>
      <c r="L78" s="6"/>
      <c r="M78" s="45"/>
    </row>
    <row r="79" spans="1:13" ht="12">
      <c r="A79" s="6" t="s">
        <v>71</v>
      </c>
      <c r="B79" s="14" t="s">
        <v>131</v>
      </c>
      <c r="C79" s="21"/>
      <c r="D79" s="20"/>
      <c r="E79" s="14"/>
      <c r="F79" s="28"/>
      <c r="G79" s="13"/>
      <c r="H79" s="14"/>
      <c r="I79" s="28"/>
      <c r="J79" s="26"/>
      <c r="K79" s="6"/>
      <c r="L79" s="6"/>
      <c r="M79" s="45"/>
    </row>
    <row r="80" spans="1:13" ht="12">
      <c r="A80" s="6" t="s">
        <v>72</v>
      </c>
      <c r="B80" s="14" t="s">
        <v>132</v>
      </c>
      <c r="C80" s="21"/>
      <c r="D80" s="20"/>
      <c r="E80" s="14"/>
      <c r="F80" s="28"/>
      <c r="G80" s="13"/>
      <c r="H80" s="14"/>
      <c r="I80" s="28"/>
      <c r="J80" s="26"/>
      <c r="K80" s="6"/>
      <c r="L80" s="6"/>
      <c r="M80" s="45"/>
    </row>
    <row r="81" spans="1:13" ht="12">
      <c r="A81" s="6" t="s">
        <v>73</v>
      </c>
      <c r="B81" s="14" t="s">
        <v>132</v>
      </c>
      <c r="C81" s="21"/>
      <c r="D81" s="20"/>
      <c r="E81" s="14"/>
      <c r="F81" s="28"/>
      <c r="G81" s="13"/>
      <c r="H81" s="14"/>
      <c r="I81" s="28"/>
      <c r="J81" s="26"/>
      <c r="K81" s="6"/>
      <c r="L81" s="6"/>
      <c r="M81" s="45"/>
    </row>
    <row r="82" spans="1:13" ht="12">
      <c r="A82" s="6" t="s">
        <v>74</v>
      </c>
      <c r="B82" s="14" t="s">
        <v>133</v>
      </c>
      <c r="C82" s="21"/>
      <c r="D82" s="20"/>
      <c r="E82" s="14"/>
      <c r="F82" s="28"/>
      <c r="G82" s="13"/>
      <c r="H82" s="14"/>
      <c r="I82" s="28"/>
      <c r="J82" s="26"/>
      <c r="K82" s="6"/>
      <c r="L82" s="6"/>
      <c r="M82" s="45"/>
    </row>
    <row r="83" spans="1:13" ht="12">
      <c r="A83" s="6" t="s">
        <v>75</v>
      </c>
      <c r="B83" s="14" t="s">
        <v>134</v>
      </c>
      <c r="C83" s="21"/>
      <c r="D83" s="20"/>
      <c r="E83" s="14"/>
      <c r="F83" s="28"/>
      <c r="G83" s="13"/>
      <c r="H83" s="14"/>
      <c r="I83" s="28"/>
      <c r="J83" s="26"/>
      <c r="K83" s="6"/>
      <c r="L83" s="6"/>
      <c r="M83" s="45"/>
    </row>
    <row r="84" spans="1:13" ht="12">
      <c r="A84" s="6" t="s">
        <v>76</v>
      </c>
      <c r="B84" s="14" t="s">
        <v>135</v>
      </c>
      <c r="C84" s="21"/>
      <c r="D84" s="20"/>
      <c r="E84" s="14"/>
      <c r="F84" s="28"/>
      <c r="G84" s="13"/>
      <c r="H84" s="14"/>
      <c r="I84" s="28"/>
      <c r="J84" s="26"/>
      <c r="K84" s="6"/>
      <c r="L84" s="6"/>
      <c r="M84" s="45"/>
    </row>
    <row r="85" spans="1:13" ht="12">
      <c r="A85" s="6"/>
      <c r="B85" s="14"/>
      <c r="C85" s="21"/>
      <c r="D85" s="20"/>
      <c r="E85" s="14"/>
      <c r="F85" s="28"/>
      <c r="G85" s="13"/>
      <c r="H85" s="14"/>
      <c r="I85" s="28"/>
      <c r="J85" s="26"/>
      <c r="K85" s="6"/>
      <c r="L85" s="6"/>
      <c r="M85" s="45"/>
    </row>
    <row r="86" spans="1:13" ht="12">
      <c r="A86" s="6" t="s">
        <v>77</v>
      </c>
      <c r="B86" s="14" t="s">
        <v>136</v>
      </c>
      <c r="C86" s="21"/>
      <c r="D86" s="20"/>
      <c r="E86" s="14"/>
      <c r="F86" s="28"/>
      <c r="G86" s="13"/>
      <c r="H86" s="14"/>
      <c r="I86" s="28"/>
      <c r="J86" s="26"/>
      <c r="K86" s="6"/>
      <c r="L86" s="6"/>
      <c r="M86" s="45"/>
    </row>
    <row r="87" spans="1:13" ht="12">
      <c r="A87" s="6" t="s">
        <v>78</v>
      </c>
      <c r="B87" s="14" t="s">
        <v>137</v>
      </c>
      <c r="C87" s="21"/>
      <c r="D87" s="20"/>
      <c r="E87" s="14"/>
      <c r="F87" s="28"/>
      <c r="G87" s="13"/>
      <c r="H87" s="14"/>
      <c r="I87" s="28"/>
      <c r="J87" s="26"/>
      <c r="K87" s="6"/>
      <c r="L87" s="6"/>
      <c r="M87" s="45"/>
    </row>
    <row r="88" spans="1:13" ht="12">
      <c r="A88" s="6" t="s">
        <v>79</v>
      </c>
      <c r="B88" s="14" t="s">
        <v>138</v>
      </c>
      <c r="C88" s="21"/>
      <c r="D88" s="20"/>
      <c r="E88" s="14"/>
      <c r="F88" s="28"/>
      <c r="G88" s="13"/>
      <c r="H88" s="14"/>
      <c r="I88" s="28"/>
      <c r="J88" s="26"/>
      <c r="K88" s="6"/>
      <c r="L88" s="6"/>
      <c r="M88" s="45"/>
    </row>
    <row r="89" spans="1:13" ht="12">
      <c r="A89" s="6" t="s">
        <v>80</v>
      </c>
      <c r="B89" s="14" t="s">
        <v>139</v>
      </c>
      <c r="C89" s="21"/>
      <c r="D89" s="20"/>
      <c r="E89" s="14"/>
      <c r="F89" s="28"/>
      <c r="G89" s="13"/>
      <c r="H89" s="14"/>
      <c r="I89" s="28"/>
      <c r="J89" s="26"/>
      <c r="K89" s="6"/>
      <c r="L89" s="6"/>
      <c r="M89" s="45"/>
    </row>
    <row r="90" spans="1:13" ht="12">
      <c r="A90" s="6" t="s">
        <v>81</v>
      </c>
      <c r="B90" s="14" t="s">
        <v>140</v>
      </c>
      <c r="C90" s="21"/>
      <c r="D90" s="20"/>
      <c r="E90" s="14"/>
      <c r="F90" s="28"/>
      <c r="G90" s="13"/>
      <c r="H90" s="14"/>
      <c r="I90" s="28"/>
      <c r="J90" s="26"/>
      <c r="K90" s="6"/>
      <c r="L90" s="6"/>
      <c r="M90" s="45"/>
    </row>
    <row r="91" spans="1:13" ht="12">
      <c r="A91" s="6" t="s">
        <v>82</v>
      </c>
      <c r="B91" s="14" t="s">
        <v>141</v>
      </c>
      <c r="C91" s="21"/>
      <c r="D91" s="20"/>
      <c r="E91" s="14"/>
      <c r="F91" s="28"/>
      <c r="G91" s="13"/>
      <c r="H91" s="14"/>
      <c r="I91" s="28"/>
      <c r="J91" s="26"/>
      <c r="K91" s="6"/>
      <c r="L91" s="6"/>
      <c r="M91" s="45"/>
    </row>
    <row r="92" spans="1:13" ht="12">
      <c r="A92" s="6" t="s">
        <v>83</v>
      </c>
      <c r="B92" s="14"/>
      <c r="C92" s="21"/>
      <c r="D92" s="20"/>
      <c r="E92" s="14"/>
      <c r="F92" s="28"/>
      <c r="G92" s="13"/>
      <c r="H92" s="14"/>
      <c r="I92" s="28"/>
      <c r="J92" s="26"/>
      <c r="K92" s="6"/>
      <c r="L92" s="6"/>
      <c r="M92" s="45"/>
    </row>
    <row r="93" spans="1:13" ht="12">
      <c r="A93" s="6"/>
      <c r="B93" s="14"/>
      <c r="C93" s="21"/>
      <c r="D93" s="20"/>
      <c r="E93" s="14"/>
      <c r="F93" s="28"/>
      <c r="G93" s="13"/>
      <c r="H93" s="14"/>
      <c r="I93" s="28"/>
      <c r="J93" s="26"/>
      <c r="K93" s="6"/>
      <c r="L93" s="6"/>
      <c r="M93" s="45"/>
    </row>
    <row r="94" spans="1:13" ht="12">
      <c r="A94" s="6" t="s">
        <v>84</v>
      </c>
      <c r="B94" s="14" t="s">
        <v>142</v>
      </c>
      <c r="C94" s="21"/>
      <c r="D94" s="20"/>
      <c r="E94" s="14"/>
      <c r="F94" s="28"/>
      <c r="G94" s="13"/>
      <c r="H94" s="14"/>
      <c r="I94" s="28"/>
      <c r="J94" s="26"/>
      <c r="K94" s="6"/>
      <c r="L94" s="6"/>
      <c r="M94" s="45"/>
    </row>
    <row r="95" spans="1:13" ht="12">
      <c r="A95" s="6"/>
      <c r="B95" s="14"/>
      <c r="C95" s="21"/>
      <c r="D95" s="20"/>
      <c r="E95" s="14"/>
      <c r="F95" s="28"/>
      <c r="G95" s="13"/>
      <c r="H95" s="14"/>
      <c r="I95" s="28"/>
      <c r="J95" s="26"/>
      <c r="K95" s="6"/>
      <c r="L95" s="6"/>
      <c r="M95" s="45"/>
    </row>
    <row r="96" spans="1:13">
      <c r="A96" s="7"/>
      <c r="B96" s="7"/>
      <c r="C96" s="7"/>
      <c r="D96" s="7"/>
      <c r="E96" s="7"/>
      <c r="F96" s="7"/>
      <c r="G96" s="33"/>
      <c r="H96" s="7"/>
      <c r="I96" s="7"/>
      <c r="J96" s="7"/>
      <c r="K96" s="7"/>
      <c r="L96" s="44"/>
    </row>
    <row r="97" spans="1:12" ht="18.2" customHeight="1">
      <c r="A97" s="8" t="s">
        <v>85</v>
      </c>
      <c r="B97" s="8"/>
      <c r="C97" s="22"/>
      <c r="D97" s="22"/>
      <c r="E97" s="9" t="s">
        <v>147</v>
      </c>
      <c r="F97" s="29"/>
      <c r="G97" s="34"/>
      <c r="H97" s="22"/>
      <c r="I97" s="9" t="s">
        <v>154</v>
      </c>
      <c r="J97" s="9"/>
      <c r="K97" s="41"/>
    </row>
    <row r="98" spans="1:12" ht="15.95" customHeight="1">
      <c r="A98" s="9" t="s">
        <v>86</v>
      </c>
      <c r="B98" s="8"/>
      <c r="C98" s="22"/>
      <c r="D98" s="22"/>
      <c r="E98" s="9" t="s">
        <v>148</v>
      </c>
      <c r="F98" s="8"/>
      <c r="G98" s="35"/>
      <c r="H98" s="22"/>
      <c r="I98" s="9" t="str">
        <f ca="1">CONCATENATE(" 打印日期：",YEAR(TODAY()),"-",RIGHT(100+MONTH(TODAY()),2),"-",RIGHT(100+DAY(TODAY()),2))</f>
        <v xml:space="preserve"> 打印日期：2025-03-28</v>
      </c>
      <c r="J98" s="29"/>
      <c r="K98" s="8"/>
      <c r="L98" s="9"/>
    </row>
    <row r="99" spans="1:12" ht="10.5">
      <c r="G99" s="36"/>
    </row>
  </sheetData>
  <mergeCells count="10">
    <mergeCell ref="I98:L98"/>
    <mergeCell ref="E98:F98"/>
    <mergeCell ref="A98:B98"/>
    <mergeCell ref="A3:B3"/>
    <mergeCell ref="A97:B97"/>
    <mergeCell ref="E97:F97"/>
    <mergeCell ref="I97:J97"/>
    <mergeCell ref="H3:J3"/>
    <mergeCell ref="A1:K1"/>
    <mergeCell ref="A2:K2"/>
  </mergeCells>
  <phoneticPr fontId="1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2025-03-28T06:34:54Z</dcterms:created>
  <dcterms:modified xsi:type="dcterms:W3CDTF">2025-03-28T06:34:55Z</dcterms:modified>
</cp:coreProperties>
</file>